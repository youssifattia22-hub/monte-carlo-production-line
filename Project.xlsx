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idebhu-my.sharepoint.com/personal/youssifattia_22_mailbox_unideb_hu/Documents/Dokumentumok/Reliability project/"/>
    </mc:Choice>
  </mc:AlternateContent>
  <xr:revisionPtr revIDLastSave="0" documentId="8_{41D9806F-19EC-41B6-9BE4-9E32D15B2F88}" xr6:coauthVersionLast="47" xr6:coauthVersionMax="47" xr10:uidLastSave="{00000000-0000-0000-0000-000000000000}"/>
  <bookViews>
    <workbookView xWindow="-108" yWindow="-108" windowWidth="23256" windowHeight="12456" xr2:uid="{12CD0AC4-D48B-471B-B108-DBE08127A053}"/>
  </bookViews>
  <sheets>
    <sheet name="Model Inpu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J21" i="1" s="1"/>
  <c r="I20" i="1"/>
  <c r="J20" i="1" s="1"/>
  <c r="I19" i="1"/>
  <c r="J19" i="1" s="1"/>
  <c r="I6" i="1"/>
  <c r="J6" i="1" s="1"/>
  <c r="I5" i="1"/>
  <c r="J5" i="1" s="1"/>
  <c r="I4" i="1"/>
  <c r="J4" i="1" s="1"/>
  <c r="F11" i="1" l="1"/>
  <c r="F10" i="1"/>
  <c r="F9" i="1"/>
  <c r="G11" i="1" l="1"/>
  <c r="I11" i="1" s="1"/>
  <c r="J11" i="1" s="1"/>
  <c r="G10" i="1"/>
  <c r="I10" i="1" s="1"/>
  <c r="J10" i="1" s="1"/>
  <c r="G9" i="1"/>
  <c r="I9" i="1" s="1"/>
  <c r="J9" i="1" s="1"/>
</calcChain>
</file>

<file path=xl/sharedStrings.xml><?xml version="1.0" encoding="utf-8"?>
<sst xmlns="http://schemas.openxmlformats.org/spreadsheetml/2006/main" count="98" uniqueCount="52">
  <si>
    <t>Machine</t>
  </si>
  <si>
    <t>Type of Input</t>
  </si>
  <si>
    <t>Distribution</t>
  </si>
  <si>
    <t>Base μ</t>
  </si>
  <si>
    <t>σ</t>
  </si>
  <si>
    <t>Multiplier</t>
  </si>
  <si>
    <t xml:space="preserve">Adjusted μ </t>
  </si>
  <si>
    <t>Mean TTF (hours)</t>
  </si>
  <si>
    <t>Parameter</t>
  </si>
  <si>
    <t>Type</t>
  </si>
  <si>
    <t>Baseline Value</t>
  </si>
  <si>
    <t>Alternative Scenarios</t>
  </si>
  <si>
    <t>Unit / Note</t>
  </si>
  <si>
    <t>Machine 1</t>
  </si>
  <si>
    <t>TTF</t>
  </si>
  <si>
    <t>Lognormal</t>
  </si>
  <si>
    <t>PM Interval</t>
  </si>
  <si>
    <t>Decision Variable</t>
  </si>
  <si>
    <t>Reactive, 100, 150, 200, 250</t>
  </si>
  <si>
    <t>hours</t>
  </si>
  <si>
    <t>Machine 2</t>
  </si>
  <si>
    <t>PM Duration</t>
  </si>
  <si>
    <t>Assumption</t>
  </si>
  <si>
    <t>Fixed</t>
  </si>
  <si>
    <t>hour/event</t>
  </si>
  <si>
    <t>Machine 3</t>
  </si>
  <si>
    <t>Buffer 1 Capacity</t>
  </si>
  <si>
    <t>10, 30, 50</t>
  </si>
  <si>
    <t>units</t>
  </si>
  <si>
    <t>Buffer 2 Capacity</t>
  </si>
  <si>
    <t>Shape β</t>
  </si>
  <si>
    <t>Scale η</t>
  </si>
  <si>
    <t>Adjusted Scale η</t>
  </si>
  <si>
    <t>Mean TTR (hours)</t>
  </si>
  <si>
    <t>Demand Target</t>
  </si>
  <si>
    <t>Scenario Input</t>
  </si>
  <si>
    <t>Fixed initially</t>
  </si>
  <si>
    <t>good units/shift</t>
  </si>
  <si>
    <t>TTR</t>
  </si>
  <si>
    <t>Weibull</t>
  </si>
  <si>
    <t>Shift Duration</t>
  </si>
  <si>
    <t>Model Setting</t>
  </si>
  <si>
    <t>Base Min aa</t>
  </si>
  <si>
    <t>Base Max bb</t>
  </si>
  <si>
    <t>Adjusted Min</t>
  </si>
  <si>
    <t>Adjusted Max</t>
  </si>
  <si>
    <t>Mean PT (sec)</t>
  </si>
  <si>
    <t>Processing Time</t>
  </si>
  <si>
    <t>Uniform</t>
  </si>
  <si>
    <t>Adjusted μ</t>
  </si>
  <si>
    <t>Mean Scrap Rate</t>
  </si>
  <si>
    <t>Scrap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</si>
</sst>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rgb="FF993366"/>
      </patternFill>
    </fill>
    <fill>
      <patternFill patternType="solid">
        <fgColor theme="8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119520</xdr:colOff>
      <xdr:row>2</xdr:row>
      <xdr:rowOff>360</xdr:rowOff>
    </xdr:from>
    <xdr:to>
      <xdr:col>1</xdr:col>
      <xdr:colOff>507600</xdr:colOff>
      <xdr:row>5</xdr:row>
      <xdr:rowOff>141480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46379C-52B3-4AD4-8AC8-08B1CCC5717E}"/>
            </a:ext>
          </a:extLst>
        </xdr:cNvPr>
        <xdr:cNvSpPr/>
      </xdr:nvSpPr>
      <xdr:spPr>
        <a:xfrm>
          <a:off x="119520" y="366120"/>
          <a:ext cx="982440" cy="796440"/>
        </a:xfrm>
        <a:prstGeom prst="rect">
          <a:avLst/>
        </a:prstGeom>
        <a:solidFill>
          <a:srgbClr val="FFFF00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u="none" strike="noStrike">
              <a:solidFill>
                <a:schemeClr val="dk1"/>
              </a:solidFill>
              <a:effectLst/>
              <a:uFillTx/>
              <a:latin typeface="Calibri"/>
            </a:rPr>
            <a:t>TTFmachine ​= Multiplier ×TTFbase​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debhu-my.sharepoint.com/personal/youssifattia_22_mailbox_unideb_hu/Documents/Dokumentumok/Reliability%20project/production_line_simulation.py.xlsx" TargetMode="External"/><Relationship Id="rId1" Type="http://schemas.openxmlformats.org/officeDocument/2006/relationships/externalLinkPath" Target="production_line_simulation.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in_FD001"/>
      <sheetName val="pivot-TTF"/>
      <sheetName val="TTF Analysis"/>
      <sheetName val="TTR raw data"/>
      <sheetName val="TTR analysis"/>
      <sheetName val="TTR raw 2"/>
      <sheetName val="TTR analysis 2"/>
      <sheetName val="Processing T analysis"/>
      <sheetName val="Processing time analysis 2"/>
      <sheetName val="Scrap rate anaysis"/>
      <sheetName val="Scrap rate analysis 2"/>
      <sheetName val="Monte Carlo Simulation"/>
      <sheetName val="Monte carlo 1"/>
      <sheetName val="Model Inputs"/>
      <sheetName val="Validation &amp; Outputs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I12">
            <v>0.76469323955039259</v>
          </cell>
        </row>
        <row r="14">
          <cell r="I14">
            <v>6.7530385216564603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F03D-1AF7-40B6-80D4-4DE39F80D384}">
  <dimension ref="C3:Q21"/>
  <sheetViews>
    <sheetView tabSelected="1" zoomScale="103" zoomScaleNormal="103" workbookViewId="0">
      <selection activeCell="I5" sqref="I5"/>
    </sheetView>
  </sheetViews>
  <sheetFormatPr defaultColWidth="8.6640625" defaultRowHeight="14.4" x14ac:dyDescent="0.3"/>
  <cols>
    <col min="3" max="3" width="12.6640625" customWidth="1"/>
    <col min="4" max="4" width="16.5546875" customWidth="1"/>
    <col min="5" max="5" width="21.5546875" customWidth="1"/>
    <col min="6" max="6" width="12.109375" customWidth="1"/>
    <col min="7" max="7" width="16.109375" customWidth="1"/>
    <col min="8" max="8" width="11.33203125" customWidth="1"/>
    <col min="9" max="9" width="16.88671875" customWidth="1"/>
    <col min="10" max="10" width="21" customWidth="1"/>
    <col min="11" max="11" width="20" customWidth="1"/>
    <col min="13" max="13" width="22.88671875" customWidth="1"/>
    <col min="14" max="14" width="18.109375" customWidth="1"/>
    <col min="15" max="15" width="18" customWidth="1"/>
    <col min="16" max="16" width="27.33203125" customWidth="1"/>
    <col min="17" max="17" width="15.6640625" customWidth="1"/>
  </cols>
  <sheetData>
    <row r="3" spans="3:17" ht="21" customHeigh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M3" s="2" t="s">
        <v>8</v>
      </c>
      <c r="N3" s="2" t="s">
        <v>9</v>
      </c>
      <c r="O3" s="3" t="s">
        <v>10</v>
      </c>
      <c r="P3" s="2" t="s">
        <v>11</v>
      </c>
      <c r="Q3" s="2" t="s">
        <v>12</v>
      </c>
    </row>
    <row r="4" spans="3:17" ht="15.75" customHeight="1" x14ac:dyDescent="0.3">
      <c r="C4" s="4" t="s">
        <v>13</v>
      </c>
      <c r="D4" s="4" t="s">
        <v>14</v>
      </c>
      <c r="E4" s="4" t="s">
        <v>15</v>
      </c>
      <c r="F4" s="4">
        <v>5.3062449999999997</v>
      </c>
      <c r="G4" s="4">
        <v>0.212116</v>
      </c>
      <c r="H4" s="4">
        <v>1</v>
      </c>
      <c r="I4" s="5">
        <f>F4+LN(H4)</f>
        <v>5.3062449999999997</v>
      </c>
      <c r="J4" s="5">
        <f>EXP(I4+(G4^2)/2)</f>
        <v>206.17835573337797</v>
      </c>
      <c r="M4" s="6" t="s">
        <v>16</v>
      </c>
      <c r="N4" s="6" t="s">
        <v>17</v>
      </c>
      <c r="O4" s="7">
        <v>200</v>
      </c>
      <c r="P4" s="6" t="s">
        <v>18</v>
      </c>
      <c r="Q4" s="6" t="s">
        <v>19</v>
      </c>
    </row>
    <row r="5" spans="3:17" ht="15" customHeight="1" x14ac:dyDescent="0.3">
      <c r="C5" s="4" t="s">
        <v>20</v>
      </c>
      <c r="D5" s="4" t="s">
        <v>14</v>
      </c>
      <c r="E5" s="4" t="s">
        <v>15</v>
      </c>
      <c r="F5" s="4">
        <v>5.3062449999999997</v>
      </c>
      <c r="G5" s="4">
        <v>0.212116</v>
      </c>
      <c r="H5" s="4">
        <v>0.8</v>
      </c>
      <c r="I5" s="5">
        <f>F5+LN(H5)</f>
        <v>5.0831014486857899</v>
      </c>
      <c r="J5" s="5">
        <f>EXP(I5+(G5^2)/2)</f>
        <v>164.9426845867024</v>
      </c>
      <c r="M5" s="6" t="s">
        <v>21</v>
      </c>
      <c r="N5" s="6" t="s">
        <v>22</v>
      </c>
      <c r="O5" s="7">
        <v>1</v>
      </c>
      <c r="P5" s="6" t="s">
        <v>23</v>
      </c>
      <c r="Q5" s="6" t="s">
        <v>24</v>
      </c>
    </row>
    <row r="6" spans="3:17" ht="15.75" customHeight="1" x14ac:dyDescent="0.3">
      <c r="C6" s="4" t="s">
        <v>25</v>
      </c>
      <c r="D6" s="4" t="s">
        <v>14</v>
      </c>
      <c r="E6" s="4" t="s">
        <v>15</v>
      </c>
      <c r="F6" s="4">
        <v>5.3062449999999997</v>
      </c>
      <c r="G6" s="4">
        <v>0.212116</v>
      </c>
      <c r="H6" s="4">
        <v>1.2</v>
      </c>
      <c r="I6" s="5">
        <f>F6+LN(H6)</f>
        <v>5.4885665567939546</v>
      </c>
      <c r="J6" s="5">
        <f>EXP(I6+(G6^2)/2)</f>
        <v>247.41402688005363</v>
      </c>
      <c r="M6" s="6" t="s">
        <v>26</v>
      </c>
      <c r="N6" s="6" t="s">
        <v>17</v>
      </c>
      <c r="O6" s="7">
        <v>30</v>
      </c>
      <c r="P6" s="6" t="s">
        <v>27</v>
      </c>
      <c r="Q6" s="6" t="s">
        <v>28</v>
      </c>
    </row>
    <row r="7" spans="3:17" ht="15" customHeight="1" x14ac:dyDescent="0.3">
      <c r="M7" s="6" t="s">
        <v>29</v>
      </c>
      <c r="N7" s="6" t="s">
        <v>17</v>
      </c>
      <c r="O7" s="7">
        <v>30</v>
      </c>
      <c r="P7" s="6" t="s">
        <v>27</v>
      </c>
      <c r="Q7" s="6" t="s">
        <v>28</v>
      </c>
    </row>
    <row r="8" spans="3:17" ht="15" customHeight="1" x14ac:dyDescent="0.3">
      <c r="C8" s="8" t="s">
        <v>0</v>
      </c>
      <c r="D8" s="8" t="s">
        <v>1</v>
      </c>
      <c r="E8" s="8" t="s">
        <v>2</v>
      </c>
      <c r="F8" s="8" t="s">
        <v>30</v>
      </c>
      <c r="G8" s="8" t="s">
        <v>31</v>
      </c>
      <c r="H8" s="8" t="s">
        <v>5</v>
      </c>
      <c r="I8" s="8" t="s">
        <v>32</v>
      </c>
      <c r="J8" s="8" t="s">
        <v>33</v>
      </c>
      <c r="M8" s="6" t="s">
        <v>34</v>
      </c>
      <c r="N8" s="6" t="s">
        <v>35</v>
      </c>
      <c r="O8" s="7">
        <v>275</v>
      </c>
      <c r="P8" s="6" t="s">
        <v>36</v>
      </c>
      <c r="Q8" s="6" t="s">
        <v>37</v>
      </c>
    </row>
    <row r="9" spans="3:17" ht="18.75" customHeight="1" x14ac:dyDescent="0.3">
      <c r="C9" s="4" t="s">
        <v>13</v>
      </c>
      <c r="D9" s="4" t="s">
        <v>38</v>
      </c>
      <c r="E9" s="4" t="s">
        <v>39</v>
      </c>
      <c r="F9" s="4">
        <f>'[1]TTR analysis 2'!$I$12</f>
        <v>0.76469323955039259</v>
      </c>
      <c r="G9" s="4">
        <f>'[1]TTR analysis 2'!$I$14</f>
        <v>6.7530385216564603</v>
      </c>
      <c r="H9" s="4">
        <v>1</v>
      </c>
      <c r="I9" s="5">
        <f>G9*H9</f>
        <v>6.7530385216564603</v>
      </c>
      <c r="J9" s="5">
        <f>I9*_xlfn.GAMMA(1+1/F9)</f>
        <v>7.9155311204142436</v>
      </c>
      <c r="M9" s="6" t="s">
        <v>40</v>
      </c>
      <c r="N9" s="6" t="s">
        <v>41</v>
      </c>
      <c r="O9" s="7">
        <v>8</v>
      </c>
      <c r="P9" s="6" t="s">
        <v>23</v>
      </c>
      <c r="Q9" s="6" t="s">
        <v>19</v>
      </c>
    </row>
    <row r="10" spans="3:17" x14ac:dyDescent="0.3">
      <c r="C10" s="4" t="s">
        <v>20</v>
      </c>
      <c r="D10" s="4" t="s">
        <v>38</v>
      </c>
      <c r="E10" s="4" t="s">
        <v>39</v>
      </c>
      <c r="F10" s="4">
        <f>'[1]TTR analysis 2'!$I$12</f>
        <v>0.76469323955039259</v>
      </c>
      <c r="G10" s="4">
        <f>'[1]TTR analysis 2'!$I$14</f>
        <v>6.7530385216564603</v>
      </c>
      <c r="H10" s="4">
        <v>0.8</v>
      </c>
      <c r="I10" s="5">
        <f>G10*H10</f>
        <v>5.4024308173251683</v>
      </c>
      <c r="J10" s="5">
        <f t="shared" ref="J10:J11" si="0">I10*_xlfn.GAMMA(1+1/F10)</f>
        <v>6.3324248963313945</v>
      </c>
    </row>
    <row r="11" spans="3:17" x14ac:dyDescent="0.3">
      <c r="C11" s="4" t="s">
        <v>25</v>
      </c>
      <c r="D11" s="4" t="s">
        <v>38</v>
      </c>
      <c r="E11" s="4" t="s">
        <v>39</v>
      </c>
      <c r="F11" s="4">
        <f>'[1]TTR analysis 2'!$I$12</f>
        <v>0.76469323955039259</v>
      </c>
      <c r="G11" s="4">
        <f>'[1]TTR analysis 2'!$I$14</f>
        <v>6.7530385216564603</v>
      </c>
      <c r="H11" s="4">
        <v>1.2</v>
      </c>
      <c r="I11" s="5">
        <f>G11*H11</f>
        <v>8.1036462259877524</v>
      </c>
      <c r="J11" s="5">
        <f t="shared" si="0"/>
        <v>9.4986373444970926</v>
      </c>
    </row>
    <row r="13" spans="3:17" ht="16.5" customHeight="1" x14ac:dyDescent="0.3">
      <c r="C13" s="9" t="s">
        <v>0</v>
      </c>
      <c r="D13" s="9" t="s">
        <v>1</v>
      </c>
      <c r="E13" s="9" t="s">
        <v>2</v>
      </c>
      <c r="F13" s="9" t="s">
        <v>42</v>
      </c>
      <c r="G13" s="9" t="s">
        <v>43</v>
      </c>
      <c r="H13" s="9" t="s">
        <v>5</v>
      </c>
      <c r="I13" s="9" t="s">
        <v>44</v>
      </c>
      <c r="J13" s="9" t="s">
        <v>45</v>
      </c>
      <c r="K13" s="9" t="s">
        <v>46</v>
      </c>
    </row>
    <row r="14" spans="3:17" ht="18" customHeight="1" x14ac:dyDescent="0.3">
      <c r="C14" s="10" t="s">
        <v>13</v>
      </c>
      <c r="D14" s="10" t="s">
        <v>47</v>
      </c>
      <c r="E14" s="10" t="s">
        <v>48</v>
      </c>
      <c r="F14" s="10">
        <v>20</v>
      </c>
      <c r="G14" s="10">
        <v>120</v>
      </c>
      <c r="H14" s="10">
        <v>1</v>
      </c>
      <c r="I14" s="11">
        <v>20</v>
      </c>
      <c r="J14" s="11">
        <v>120</v>
      </c>
      <c r="K14" s="11">
        <v>70</v>
      </c>
    </row>
    <row r="15" spans="3:17" ht="17.25" customHeight="1" x14ac:dyDescent="0.3">
      <c r="C15" s="10" t="s">
        <v>20</v>
      </c>
      <c r="D15" s="10" t="s">
        <v>47</v>
      </c>
      <c r="E15" s="10" t="s">
        <v>48</v>
      </c>
      <c r="F15" s="10">
        <v>20</v>
      </c>
      <c r="G15" s="10">
        <v>120</v>
      </c>
      <c r="H15" s="10">
        <v>0.8</v>
      </c>
      <c r="I15" s="11">
        <v>16</v>
      </c>
      <c r="J15" s="11">
        <v>96</v>
      </c>
      <c r="K15" s="11">
        <v>56</v>
      </c>
    </row>
    <row r="16" spans="3:17" ht="19.5" customHeight="1" x14ac:dyDescent="0.3">
      <c r="C16" s="10" t="s">
        <v>25</v>
      </c>
      <c r="D16" s="10" t="s">
        <v>47</v>
      </c>
      <c r="E16" s="10" t="s">
        <v>48</v>
      </c>
      <c r="F16" s="10">
        <v>20</v>
      </c>
      <c r="G16" s="10">
        <v>120</v>
      </c>
      <c r="H16" s="10">
        <v>1.2</v>
      </c>
      <c r="I16" s="11">
        <v>24</v>
      </c>
      <c r="J16" s="11">
        <v>144</v>
      </c>
      <c r="K16" s="11">
        <v>84</v>
      </c>
    </row>
    <row r="18" spans="3:10" x14ac:dyDescent="0.3">
      <c r="C18" s="8" t="s">
        <v>0</v>
      </c>
      <c r="D18" s="8" t="s">
        <v>1</v>
      </c>
      <c r="E18" s="8" t="s">
        <v>2</v>
      </c>
      <c r="F18" s="8" t="s">
        <v>3</v>
      </c>
      <c r="G18" s="8" t="s">
        <v>4</v>
      </c>
      <c r="H18" s="8" t="s">
        <v>5</v>
      </c>
      <c r="I18" s="8" t="s">
        <v>49</v>
      </c>
      <c r="J18" s="8" t="s">
        <v>50</v>
      </c>
    </row>
    <row r="19" spans="3:10" x14ac:dyDescent="0.3">
      <c r="C19" s="6" t="s">
        <v>13</v>
      </c>
      <c r="D19" s="6" t="s">
        <v>51</v>
      </c>
      <c r="E19" s="6" t="s">
        <v>15</v>
      </c>
      <c r="F19" s="7">
        <v>-3.2769699999999999</v>
      </c>
      <c r="G19" s="7">
        <v>0.61880999999999997</v>
      </c>
      <c r="H19" s="7">
        <v>1</v>
      </c>
      <c r="I19" s="7">
        <f>F19+LN(H19)</f>
        <v>-3.2769699999999999</v>
      </c>
      <c r="J19" s="7">
        <f>EXP(I19+(G19^2)/2)</f>
        <v>4.5706850446722333E-2</v>
      </c>
    </row>
    <row r="20" spans="3:10" x14ac:dyDescent="0.3">
      <c r="C20" s="6" t="s">
        <v>20</v>
      </c>
      <c r="D20" s="6" t="s">
        <v>51</v>
      </c>
      <c r="E20" s="6" t="s">
        <v>15</v>
      </c>
      <c r="F20" s="7">
        <v>-3.2769699999999999</v>
      </c>
      <c r="G20" s="7">
        <v>0.61880999999999997</v>
      </c>
      <c r="H20" s="7">
        <v>1</v>
      </c>
      <c r="I20" s="7">
        <f>F20+LN(H20)</f>
        <v>-3.2769699999999999</v>
      </c>
      <c r="J20" s="7">
        <f>EXP(I20+(G20^2)/2)</f>
        <v>4.5706850446722333E-2</v>
      </c>
    </row>
    <row r="21" spans="3:10" x14ac:dyDescent="0.3">
      <c r="C21" s="6" t="s">
        <v>25</v>
      </c>
      <c r="D21" s="6" t="s">
        <v>51</v>
      </c>
      <c r="E21" s="6" t="s">
        <v>15</v>
      </c>
      <c r="F21" s="7">
        <v>-3.2769699999999999</v>
      </c>
      <c r="G21" s="7">
        <v>0.61880999999999997</v>
      </c>
      <c r="H21" s="7">
        <v>1</v>
      </c>
      <c r="I21" s="7">
        <f>F21+LN(H21)</f>
        <v>-3.2769699999999999</v>
      </c>
      <c r="J21" s="7">
        <f>EXP(I21+(G21^2)/2)</f>
        <v>4.5706850446722333E-2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Attia Youssif Attia Aly</dc:creator>
  <cp:lastModifiedBy>Attia Youssif Attia Aly</cp:lastModifiedBy>
  <dcterms:created xsi:type="dcterms:W3CDTF">2026-10-24T09:14:25Z</dcterms:created>
  <dcterms:modified xsi:type="dcterms:W3CDTF">2026-10-24T09:16:38Z</dcterms:modified>
</cp:coreProperties>
</file>